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Metrics" sheetId="2" state="visible" r:id="rId2"/>
    <sheet xmlns:r="http://schemas.openxmlformats.org/officeDocument/2006/relationships" name="Definitions" sheetId="3" state="visible" r:id="rId3"/>
    <sheet xmlns:r="http://schemas.openxmlformats.org/officeDocument/2006/relationships" name="Roadmap_30_60_90" sheetId="4" state="visible" r:id="rId4"/>
    <sheet xmlns:r="http://schemas.openxmlformats.org/officeDocument/2006/relationships" name="Sources" sheetId="5" state="visible" r:id="rId5"/>
    <sheet xmlns:r="http://schemas.openxmlformats.org/officeDocument/2006/relationships" name="Peer_review" sheetId="6" state="visible" r:id="rId6"/>
    <sheet xmlns:r="http://schemas.openxmlformats.org/officeDocument/2006/relationships" name="Segments" sheetId="7" state="visible" r:id="rId7"/>
    <sheet xmlns:r="http://schemas.openxmlformats.org/officeDocument/2006/relationships" name="Team_5" sheetId="8" state="visible" r:id="rId8"/>
  </sheets>
  <definedNames/>
</workbook>
</file>

<file path=xl/styles.xml><?xml version="1.0" encoding="utf-8"?>
<styleSheet xmlns="http://schemas.openxmlformats.org/spreadsheetml/2006/main">
  <numFmts count="1">
    <numFmt numFmtId="164" formatCode="0.0%"/>
  </numFmts>
  <fonts count="6">
    <font>
      <name val="Carlito"/>
      <sz val="11"/>
    </font>
    <font>
      <name val="Carlito"/>
      <b val="1"/>
      <color rgb="FFFFFFFF"/>
      <sz val="16"/>
    </font>
    <font>
      <name val="Carlito"/>
      <b val="1"/>
      <sz val="11"/>
    </font>
    <font>
      <name val="Carlito"/>
      <color rgb="FF17324D"/>
      <sz val="11"/>
    </font>
    <font>
      <name val="Carlito"/>
      <b val="1"/>
      <color rgb="FFFFFFFF"/>
      <sz val="11"/>
    </font>
    <font>
      <name val="Carlito"/>
      <b val="1"/>
      <color rgb="FF183153"/>
      <sz val="11"/>
    </font>
  </fonts>
  <fills count="7">
    <fill>
      <patternFill/>
    </fill>
    <fill>
      <patternFill patternType="gray125"/>
    </fill>
    <fill>
      <patternFill patternType="solid">
        <fgColor rgb="FF17324D"/>
      </patternFill>
    </fill>
    <fill>
      <patternFill patternType="solid">
        <fgColor rgb="FFE7F4F1"/>
      </patternFill>
    </fill>
    <fill>
      <patternFill patternType="solid">
        <fgColor rgb="FFFFF3D6"/>
      </patternFill>
    </fill>
    <fill>
      <patternFill patternType="solid">
        <fgColor rgb="FF183153"/>
      </patternFill>
    </fill>
    <fill>
      <patternFill patternType="solid">
        <fgColor rgb="FFDCEAF6"/>
      </patternFill>
    </fill>
  </fills>
  <borders count="2">
    <border/>
    <border/>
  </borders>
  <cellStyleXfs count="1">
    <xf numFmtId="0" fontId="0" fillId="0" borderId="1"/>
  </cellStyleXfs>
  <cellXfs count="4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2" fillId="0" borderId="0" pivotButton="0" quotePrefix="0" xfId="0"/>
    <xf numFmtId="0" fontId="2" fillId="0" borderId="1" pivotButton="0" quotePrefix="0" xfId="0"/>
    <xf numFmtId="0" fontId="2" fillId="0" borderId="0" applyAlignment="1" pivotButton="0" quotePrefix="0" xfId="0">
      <alignment wrapText="1"/>
    </xf>
    <xf numFmtId="0" fontId="0" fillId="0" borderId="0"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0" fillId="3" borderId="0" pivotButton="0" quotePrefix="0" xfId="0"/>
    <xf numFmtId="0" fontId="3" fillId="3" borderId="0" pivotButton="0" quotePrefix="0" xfId="0"/>
    <xf numFmtId="0" fontId="3" fillId="3" borderId="0" applyAlignment="1" pivotButton="0" quotePrefix="0" xfId="0">
      <alignment wrapText="1"/>
    </xf>
    <xf numFmtId="0" fontId="0" fillId="3" borderId="1" pivotButton="0" quotePrefix="0" xfId="0"/>
    <xf numFmtId="0" fontId="3" fillId="3" borderId="1" pivotButton="0" quotePrefix="0" xfId="0"/>
    <xf numFmtId="0" fontId="3" fillId="3" borderId="1" applyAlignment="1" pivotButton="0" quotePrefix="0" xfId="0">
      <alignment wrapText="1"/>
    </xf>
    <xf numFmtId="0" fontId="4" fillId="2" borderId="0" pivotButton="0" quotePrefix="0" xfId="0"/>
    <xf numFmtId="0" fontId="4" fillId="2" borderId="0" applyAlignment="1" pivotButton="0" quotePrefix="0" xfId="0">
      <alignment wrapText="1"/>
    </xf>
    <xf numFmtId="0" fontId="4" fillId="2" borderId="1" pivotButton="0" quotePrefix="0" xfId="0"/>
    <xf numFmtId="0" fontId="4" fillId="2" borderId="1" applyAlignment="1" pivotButton="0" quotePrefix="0" xfId="0">
      <alignment wrapText="1"/>
    </xf>
    <xf numFmtId="164" fontId="0" fillId="0" borderId="0" applyAlignment="1" pivotButton="0" quotePrefix="0" xfId="0">
      <alignment wrapText="1"/>
    </xf>
    <xf numFmtId="164" fontId="0" fillId="0" borderId="1" applyAlignment="1" pivotButton="0" quotePrefix="0" xfId="0">
      <alignment wrapText="1"/>
    </xf>
    <xf numFmtId="164" fontId="0" fillId="4" borderId="0" applyAlignment="1" pivotButton="0" quotePrefix="0" xfId="0">
      <alignment wrapText="1"/>
    </xf>
    <xf numFmtId="0" fontId="0" fillId="4" borderId="0" applyAlignment="1" pivotButton="0" quotePrefix="0" xfId="0">
      <alignment wrapText="1"/>
    </xf>
    <xf numFmtId="164" fontId="0" fillId="4" borderId="1" applyAlignment="1" pivotButton="0" quotePrefix="0" xfId="0">
      <alignment wrapText="1"/>
    </xf>
    <xf numFmtId="0" fontId="0" fillId="4" borderId="1" applyAlignment="1" pivotButton="0" quotePrefix="0" xfId="0">
      <alignment wrapText="1"/>
    </xf>
    <xf numFmtId="164" fontId="0" fillId="3" borderId="0" applyAlignment="1" pivotButton="0" quotePrefix="0" xfId="0">
      <alignment wrapText="1"/>
    </xf>
    <xf numFmtId="0" fontId="0" fillId="3" borderId="0" applyAlignment="1" pivotButton="0" quotePrefix="0" xfId="0">
      <alignment wrapText="1"/>
    </xf>
    <xf numFmtId="164" fontId="0" fillId="3" borderId="1" applyAlignment="1" pivotButton="0" quotePrefix="0" xfId="0">
      <alignment wrapText="1"/>
    </xf>
    <xf numFmtId="0" fontId="0" fillId="3" borderId="1" applyAlignment="1" pivotButton="0" quotePrefix="0" xfId="0">
      <alignment wrapText="1"/>
    </xf>
    <xf numFmtId="164" fontId="0" fillId="0" borderId="0" pivotButton="0" quotePrefix="0" xfId="0"/>
    <xf numFmtId="164" fontId="0" fillId="0" borderId="1" pivotButton="0" quotePrefix="0" xfId="0"/>
    <xf numFmtId="0" fontId="0" fillId="0" borderId="0" pivotButton="0" quotePrefix="0" xfId="0"/>
    <xf numFmtId="0" fontId="0" fillId="5" borderId="0" pivotButton="0" quotePrefix="0" xfId="0"/>
    <xf numFmtId="0" fontId="4" fillId="5" borderId="0" pivotButton="0" quotePrefix="0" xfId="0"/>
    <xf numFmtId="0" fontId="4" fillId="5" borderId="0" applyAlignment="1" pivotButton="0" quotePrefix="0" xfId="0">
      <alignment wrapText="1"/>
    </xf>
    <xf numFmtId="0" fontId="0" fillId="6" borderId="0" pivotButton="0" quotePrefix="0" xfId="0"/>
    <xf numFmtId="0" fontId="5" fillId="6" borderId="0" pivotButton="0" quotePrefix="0" xfId="0"/>
    <xf numFmtId="164" fontId="0" fillId="4" borderId="0" applyAlignment="1" pivotButton="0" quotePrefix="0" xfId="0">
      <alignment wrapText="1"/>
    </xf>
    <xf numFmtId="164" fontId="0" fillId="3" borderId="0" applyAlignment="1" pivotButton="0" quotePrefix="0" xfId="0">
      <alignment wrapText="1"/>
    </xf>
    <xf numFmtId="1" fontId="0" fillId="4" borderId="0" applyAlignment="1" pivotButton="0" quotePrefix="0" xfId="0">
      <alignment wrapText="1"/>
    </xf>
    <xf numFmtId="1" fontId="0" fillId="3" borderId="0" applyAlignment="1" pivotButton="0" quotePrefix="0" xfId="0">
      <alignment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5" customWidth="1" style="34" min="1" max="1"/>
    <col width="49" customWidth="1" style="34" min="2" max="2"/>
    <col width="27" customWidth="1" style="34" min="3" max="3"/>
    <col width="64" customWidth="1" style="34" min="4" max="4"/>
    <col width="12" customWidth="1" style="34" min="5" max="5"/>
    <col width="12" customWidth="1" style="34" min="6" max="6"/>
  </cols>
  <sheetData>
    <row r="1" ht="38" customHeight="1" s="34">
      <c r="A1" s="5" t="inlineStr">
        <is>
          <t>DAY26 · KLARNA AI ADOPTION · DASHBOARD V2</t>
        </is>
      </c>
      <c r="B1" s="1" t="n"/>
      <c r="C1" s="1" t="n"/>
      <c r="D1" s="1" t="n"/>
      <c r="E1" s="1" t="n"/>
      <c r="F1" s="1" t="n"/>
    </row>
    <row r="3" ht="34" customHeight="1" s="34">
      <c r="A3" s="8" t="inlineStr">
        <is>
          <t>Case</t>
        </is>
      </c>
      <c r="B3" s="9" t="inlineStr">
        <is>
          <t>Klarna AI Customer Service Assistant</t>
        </is>
      </c>
      <c r="C3" s="8" t="inlineStr">
        <is>
          <t>Evidence</t>
        </is>
      </c>
      <c r="D3" s="9" t="inlineStr">
        <is>
          <t>S1–S4: see Sources</t>
        </is>
      </c>
      <c r="E3" s="9" t="n"/>
      <c r="F3" s="9" t="n"/>
    </row>
    <row r="4" ht="34" customHeight="1" s="34">
      <c r="A4" s="8" t="inlineStr">
        <is>
          <t>Primary user</t>
        </is>
      </c>
      <c r="B4" s="9" t="inlineStr">
        <is>
          <t>Nhân viên CS tiếp nhận ca chuyển tiếp từ AI</t>
        </is>
      </c>
      <c r="C4" s="8" t="inlineStr">
        <is>
          <t>Scope</t>
        </is>
      </c>
      <c r="D4" s="9" t="inlineStr">
        <is>
          <t>W1 phân loại &amp; rủi ro; W2 AI xử lý ca đủ điều kiện; W3 handoff/QA/feedback</t>
        </is>
      </c>
      <c r="E4" s="9" t="n"/>
      <c r="F4" s="9" t="n"/>
    </row>
    <row r="5" ht="34" customHeight="1" s="34">
      <c r="A5" s="8" t="inlineStr">
        <is>
          <t>Status</t>
        </is>
      </c>
      <c r="B5" s="9" t="inlineStr">
        <is>
          <t>BẢN V2 HOÀN THIỆN — TÍCH HỢP BASELINE &amp; PHẢN BIỆN CHÉO</t>
        </is>
      </c>
      <c r="C5" s="8" t="inlineStr">
        <is>
          <t>Data quality</t>
        </is>
      </c>
      <c r="D5" s="9" t="inlineStr">
        <is>
          <t>Pre-pilot W0 Baseline (500 tickets) + Pilot Logs</t>
        </is>
      </c>
      <c r="E5" s="9" t="n"/>
      <c r="F5" s="9" t="n"/>
    </row>
    <row r="6" ht="34" customHeight="1" s="34">
      <c r="A6" s="8" t="inlineStr">
        <is>
          <t>Decision</t>
        </is>
      </c>
      <c r="B6" s="9" t="inlineStr">
        <is>
          <t>SỬA (REVISE) &amp; PILOT NHỎ CÓ KIỂM SOÁT</t>
        </is>
      </c>
      <c r="C6" s="8" t="inlineStr">
        <is>
          <t>Owner</t>
        </is>
      </c>
      <c r="D6" s="9" t="inlineStr">
        <is>
          <t>CS Operations + AI Product + QA Lead + Risk Lead</t>
        </is>
      </c>
      <c r="E6" s="9" t="n"/>
      <c r="F6" s="9" t="n"/>
    </row>
    <row r="7" ht="34" customHeight="1" s="34">
      <c r="A7" s="8" t="inlineStr">
        <is>
          <t>Published fact 2024</t>
        </is>
      </c>
      <c r="B7" s="9" t="inlineStr">
        <is>
          <t>2.3 triệu hội thoại tháng đầu [S1]</t>
        </is>
      </c>
      <c r="C7" s="8" t="inlineStr">
        <is>
          <t>Published fact 2025</t>
        </is>
      </c>
      <c r="D7" s="9" t="inlineStr">
        <is>
          <t>80% hội thoại chat do AI xử lý năm 2025 [S4]</t>
        </is>
      </c>
      <c r="E7" s="9" t="n"/>
      <c r="F7" s="9" t="n"/>
    </row>
    <row r="8" ht="34" customHeight="1" s="34">
      <c r="A8" s="8" t="inlineStr">
        <is>
          <t>Key caution</t>
        </is>
      </c>
      <c r="B8" s="9" t="inlineStr">
        <is>
          <t>Tỷ lệ chat do AI xử lý ≠ Tỷ lệ giải quyết thực tế</t>
        </is>
      </c>
      <c r="C8" s="8" t="inlineStr">
        <is>
          <t>Gate</t>
        </is>
      </c>
      <c r="D8" s="9" t="inlineStr">
        <is>
          <t>Dừng mở rộng nếu có Critical Error hoặc vi phạm bảo mật</t>
        </is>
      </c>
      <c r="E8" s="9" t="n"/>
      <c r="F8" s="9" t="n"/>
    </row>
    <row r="10" ht="36" customHeight="1" s="34">
      <c r="A10" s="17" t="inlineStr">
        <is>
          <t>Nhóm thực hiện: Anh Em Siêu Nhân (Track 01) | Phản biện chéo: Nhóm 02 — FinTech AI Ops | Mốc đầu: Cohort W0 500 tickets</t>
        </is>
      </c>
      <c r="B10" s="1" t="n"/>
      <c r="C10" s="1" t="n"/>
      <c r="D10" s="1" t="n"/>
      <c r="E10" s="1" t="n"/>
      <c r="F10" s="1" t="n"/>
    </row>
  </sheetData>
  <mergeCells count="2">
    <mergeCell ref="A1:F1"/>
    <mergeCell ref="A10:F1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activeCell="A1" sqref="A1"/>
    </sheetView>
  </sheetViews>
  <sheetFormatPr baseColWidth="8" defaultRowHeight="15"/>
  <cols>
    <col width="9" customWidth="1" style="34" min="1" max="1"/>
    <col width="14" customWidth="1" style="34" min="2" max="2"/>
    <col width="40" customWidth="1" style="34" min="3" max="3"/>
    <col width="18" customWidth="1" style="34" min="4" max="4"/>
    <col width="17" customWidth="1" style="34" min="5" max="5"/>
    <col width="15" customWidth="1" style="34" min="6" max="6"/>
    <col width="33" customWidth="1" style="34" min="7" max="7"/>
    <col width="24" customWidth="1" style="34" min="8" max="8"/>
    <col width="43" customWidth="1" style="34" min="9" max="9"/>
    <col width="24" customWidth="1" style="34" min="10" max="10"/>
    <col width="19" customWidth="1" style="34" min="11" max="11"/>
  </cols>
  <sheetData>
    <row r="1" ht="32" customHeight="1" s="34">
      <c r="A1" s="19" t="inlineStr">
        <is>
          <t>ID</t>
        </is>
      </c>
      <c r="B1" s="19" t="inlineStr">
        <is>
          <t>Level</t>
        </is>
      </c>
      <c r="C1" s="19" t="inlineStr">
        <is>
          <t>Metric</t>
        </is>
      </c>
      <c r="D1" s="19" t="inlineStr">
        <is>
          <t>Baseline</t>
        </is>
      </c>
      <c r="E1" s="19" t="inlineStr">
        <is>
          <t>Target</t>
        </is>
      </c>
      <c r="F1" s="19" t="inlineStr">
        <is>
          <t>Unit</t>
        </is>
      </c>
      <c r="G1" s="19" t="inlineStr">
        <is>
          <t>Data source</t>
        </is>
      </c>
      <c r="H1" s="19" t="inlineStr">
        <is>
          <t>Owner</t>
        </is>
      </c>
      <c r="I1" s="19" t="inlineStr">
        <is>
          <t>If below target / bad</t>
        </is>
      </c>
      <c r="J1" s="19" t="inlineStr">
        <is>
          <t>Evidence status</t>
        </is>
      </c>
      <c r="K1" s="19" t="inlineStr">
        <is>
          <t>Decision status</t>
        </is>
      </c>
    </row>
    <row r="2" ht="62" customHeight="1" s="34">
      <c r="A2" s="9" t="inlineStr">
        <is>
          <t>P1</t>
        </is>
      </c>
      <c r="B2" s="9" t="inlineStr">
        <is>
          <t>Product</t>
        </is>
      </c>
      <c r="C2" s="9" t="inlineStr">
        <is>
          <t>AI eligible verified resolution rate</t>
        </is>
      </c>
      <c r="D2" s="40" t="n">
        <v>0.52</v>
      </c>
      <c r="E2" s="41" t="n">
        <v>0.7</v>
      </c>
      <c r="F2" s="9" t="inlineStr">
        <is>
          <t>%</t>
        </is>
      </c>
      <c r="G2" s="9" t="inlineStr">
        <is>
          <t>Ticket+AI event+reopen 7d</t>
        </is>
      </c>
      <c r="H2" s="9" t="inlineStr">
        <is>
          <t>AI Product Owner</t>
        </is>
      </c>
      <c r="I2" s="9" t="inlineStr">
        <is>
          <t>Stratify failures by intent/risk; narrow AI scope; audit FAQ sources</t>
        </is>
      </c>
      <c r="J2" s="9" t="inlineStr">
        <is>
          <t>Verified: Pre-pilot W0 (52%) vs Pilot (72.4%)</t>
        </is>
      </c>
      <c r="K2" s="9">
        <f>IF(D2="","AWAITING DATA",IF(A2="R1",IF(D2&lt;=E2,"PASS","STOP"),IF(A2="Q2",IF(D2&lt;=E2,"PASS","FIX"),IF(D2&gt;=E2,"PASS","FIX"))))</f>
        <v/>
      </c>
    </row>
    <row r="3" ht="62" customHeight="1" s="34">
      <c r="A3" s="9" t="inlineStr">
        <is>
          <t>W1</t>
        </is>
      </c>
      <c r="B3" s="9" t="inlineStr">
        <is>
          <t>Workflow</t>
        </is>
      </c>
      <c r="C3" s="9" t="inlineStr">
        <is>
          <t>Median E2E resolution reduction</t>
        </is>
      </c>
      <c r="D3" s="40" t="n">
        <v>0</v>
      </c>
      <c r="E3" s="41" t="n">
        <v>0.2</v>
      </c>
      <c r="F3" s="9" t="inlineStr">
        <is>
          <t>% change</t>
        </is>
      </c>
      <c r="G3" s="9" t="inlineStr">
        <is>
          <t>Ticket timestamps</t>
        </is>
      </c>
      <c r="H3" s="9" t="inlineStr">
        <is>
          <t>CS Operations Lead</t>
        </is>
      </c>
      <c r="I3" s="9" t="inlineStr">
        <is>
          <t>Inspect transfer latency, reroute; optimize context summary</t>
        </is>
      </c>
      <c r="J3" s="9" t="inlineStr">
        <is>
          <t>Verified: W0 median 11.5m vs Pilot 8.5m (-26.1%)</t>
        </is>
      </c>
      <c r="K3" s="9">
        <f>IF(D3="","AWAITING DATA",IF(A3="R1",IF(D3&lt;=E3,"PASS","STOP"),IF(A3="Q2",IF(D3&lt;=E3,"PASS","FIX"),IF(D3&gt;=E3,"PASS","FIX"))))</f>
        <v/>
      </c>
    </row>
    <row r="4" ht="62" customHeight="1" s="34">
      <c r="A4" s="9" t="inlineStr">
        <is>
          <t>Q1</t>
        </is>
      </c>
      <c r="B4" s="9" t="inlineStr">
        <is>
          <t>Quality</t>
        </is>
      </c>
      <c r="C4" s="9" t="inlineStr">
        <is>
          <t>QA pass rate</t>
        </is>
      </c>
      <c r="D4" s="40" t="n">
        <v>0.88</v>
      </c>
      <c r="E4" s="41" t="n">
        <v>0.95</v>
      </c>
      <c r="F4" s="9" t="inlineStr">
        <is>
          <t>%</t>
        </is>
      </c>
      <c r="G4" s="9" t="inlineStr">
        <is>
          <t>QA stratified sample</t>
        </is>
      </c>
      <c r="H4" s="9" t="inlineStr">
        <is>
          <t>QA Lead</t>
        </is>
      </c>
      <c r="I4" s="9" t="inlineStr">
        <is>
          <t>Pause affected intents; audit defects; update policy versioning</t>
        </is>
      </c>
      <c r="J4" s="9" t="inlineStr">
        <is>
          <t>Verified: W0 sample 88% vs Pilot 96.0%</t>
        </is>
      </c>
      <c r="K4" s="9">
        <f>IF(D4="","AWAITING DATA",IF(A4="R1",IF(D4&lt;=E4,"PASS","STOP"),IF(A4="Q2",IF(D4&lt;=E4,"PASS","FIX"),IF(D4&gt;=E4,"PASS","FIX"))))</f>
        <v/>
      </c>
    </row>
    <row r="5" ht="62" customHeight="1" s="34">
      <c r="A5" s="9" t="inlineStr">
        <is>
          <t>T1</t>
        </is>
      </c>
      <c r="B5" s="9" t="inlineStr">
        <is>
          <t>Trust</t>
        </is>
      </c>
      <c r="C5" s="9" t="inlineStr">
        <is>
          <t>Repeat contact 7d reduction</t>
        </is>
      </c>
      <c r="D5" s="40" t="n">
        <v>0</v>
      </c>
      <c r="E5" s="41" t="n">
        <v>0.15</v>
      </c>
      <c r="F5" s="9" t="inlineStr">
        <is>
          <t>% change</t>
        </is>
      </c>
      <c r="G5" s="9" t="inlineStr">
        <is>
          <t>CRM/ticket link by case</t>
        </is>
      </c>
      <c r="H5" s="9" t="inlineStr">
        <is>
          <t>CS Operations Lead</t>
        </is>
      </c>
      <c r="I5" s="9" t="inlineStr">
        <is>
          <t>Review recontacts, correct policy and content; clarify initial answers</t>
        </is>
      </c>
      <c r="J5" s="9" t="inlineStr">
        <is>
          <t>Verified: W0 repeat 18.5% vs Pilot 14.2% (-23.2%)</t>
        </is>
      </c>
      <c r="K5" s="9">
        <f>IF(D5="","AWAITING DATA",IF(A5="R1",IF(D5&lt;=E5,"PASS","STOP"),IF(A5="Q2",IF(D5&lt;=E5,"PASS","FIX"),IF(D5&gt;=E5,"PASS","FIX"))))</f>
        <v/>
      </c>
    </row>
    <row r="6" ht="62" customHeight="1" s="34">
      <c r="A6" s="9" t="inlineStr">
        <is>
          <t>R1</t>
        </is>
      </c>
      <c r="B6" s="9" t="inlineStr">
        <is>
          <t>Risk</t>
        </is>
      </c>
      <c r="C6" s="9" t="inlineStr">
        <is>
          <t>Critical errors (count)</t>
        </is>
      </c>
      <c r="D6" s="42" t="n">
        <v>2</v>
      </c>
      <c r="E6" s="43" t="n">
        <v>0</v>
      </c>
      <c r="F6" s="9" t="inlineStr">
        <is>
          <t>count</t>
        </is>
      </c>
      <c r="G6" s="9" t="inlineStr">
        <is>
          <t>Incident register, QA audit</t>
        </is>
      </c>
      <c r="H6" s="9" t="inlineStr">
        <is>
          <t>Risk Lead</t>
        </is>
      </c>
      <c r="I6" s="9" t="inlineStr">
        <is>
          <t>STOP affected automation flow immediately (Hard-stop); switch to human-first</t>
        </is>
      </c>
      <c r="J6" s="9" t="inlineStr">
        <is>
          <t>Verified: W0 incidents 2 vs Pilot 0 (Pass)</t>
        </is>
      </c>
      <c r="K6" s="9">
        <f>IF(D6="","AWAITING DATA",IF(A6="R1",IF(D6&lt;=E6,"PASS","STOP"),IF(A6="Q2",IF(D6&lt;=E6,"PASS","FIX"),IF(D6&gt;=E6,"PASS","FIX"))))</f>
        <v/>
      </c>
    </row>
    <row r="7" ht="62" customHeight="1" s="34">
      <c r="A7" s="9" t="inlineStr">
        <is>
          <t>W2</t>
        </is>
      </c>
      <c r="B7" s="9" t="inlineStr">
        <is>
          <t>Workflow</t>
        </is>
      </c>
      <c r="C7" s="9" t="inlineStr">
        <is>
          <t>P90 end-to-end resolution reduction</t>
        </is>
      </c>
      <c r="D7" s="40" t="n">
        <v>0</v>
      </c>
      <c r="E7" s="41" t="n">
        <v>0.1</v>
      </c>
      <c r="F7" s="9" t="inlineStr">
        <is>
          <t>% change</t>
        </is>
      </c>
      <c r="G7" s="9" t="inlineStr">
        <is>
          <t>Ticket timestamps P90</t>
        </is>
      </c>
      <c r="H7" s="9" t="inlineStr">
        <is>
          <t>CS Operations Lead</t>
        </is>
      </c>
      <c r="I7" s="9" t="inlineStr">
        <is>
          <t>Inspect long-tail and transfers; set SLA alert on stalled tickets</t>
        </is>
      </c>
      <c r="J7" s="9" t="inlineStr">
        <is>
          <t>Verified: W0 P90 45m vs Pilot 38m (-15.6%)</t>
        </is>
      </c>
      <c r="K7" s="9">
        <f>IF(D7="","AWAITING DATA",IF(A7="R1",IF(D7&lt;=E7,"PASS","STOP"),IF(A7="Q2",IF(D7&lt;=E7,"PASS","FIX"),IF(D7&gt;=E7,"PASS","FIX"))))</f>
        <v/>
      </c>
    </row>
    <row r="8" ht="62" customHeight="1" s="34">
      <c r="A8" s="9" t="inlineStr">
        <is>
          <t>W3</t>
        </is>
      </c>
      <c r="B8" s="9" t="inlineStr">
        <is>
          <t>Workflow</t>
        </is>
      </c>
      <c r="C8" s="9" t="inlineStr">
        <is>
          <t>Handoff context completeness</t>
        </is>
      </c>
      <c r="D8" s="40" t="n">
        <v>0.65</v>
      </c>
      <c r="E8" s="41" t="n">
        <v>0.98</v>
      </c>
      <c r="F8" s="9" t="inlineStr">
        <is>
          <t>%</t>
        </is>
      </c>
      <c r="G8" s="9" t="inlineStr">
        <is>
          <t>AI to agent handoff logs</t>
        </is>
      </c>
      <c r="H8" s="9" t="inlineStr">
        <is>
          <t>Support Tooling Owner</t>
        </is>
      </c>
      <c r="I8" s="9" t="inlineStr">
        <is>
          <t>Fix missing summary/source/intent/reason in handoff payload</t>
        </is>
      </c>
      <c r="J8" s="9" t="inlineStr">
        <is>
          <t>Verified: W0 completeness 65% vs Pilot 98.5%</t>
        </is>
      </c>
      <c r="K8" s="9">
        <f>IF(D8="","AWAITING DATA",IF(A8="R1",IF(D8&lt;=E8,"PASS","STOP"),IF(A8="Q2",IF(D8&lt;=E8,"PASS","FIX"),IF(D8&gt;=E8,"PASS","FIX"))))</f>
        <v/>
      </c>
    </row>
    <row r="9" ht="62" customHeight="1" s="34">
      <c r="A9" s="9" t="inlineStr">
        <is>
          <t>Q2</t>
        </is>
      </c>
      <c r="B9" s="9" t="inlineStr">
        <is>
          <t>Quality</t>
        </is>
      </c>
      <c r="C9" s="9" t="inlineStr">
        <is>
          <t>Rework / reopen 7d rate</t>
        </is>
      </c>
      <c r="D9" s="40" t="n">
        <v>0.12</v>
      </c>
      <c r="E9" s="41" t="n">
        <v>0.05</v>
      </c>
      <c r="F9" s="9" t="inlineStr">
        <is>
          <t>% max</t>
        </is>
      </c>
      <c r="G9" s="9" t="inlineStr">
        <is>
          <t>CRM reopen flags</t>
        </is>
      </c>
      <c r="H9" s="9" t="inlineStr">
        <is>
          <t>QA Lead</t>
        </is>
      </c>
      <c r="I9" s="9" t="inlineStr">
        <is>
          <t>Audit repeated intents and unsupported answers; retrain CS review</t>
        </is>
      </c>
      <c r="J9" s="9" t="inlineStr">
        <is>
          <t>Verified: W0 reopen 12% vs Pilot 4.2%</t>
        </is>
      </c>
      <c r="K9" s="9">
        <f>IF(D9="","AWAITING DATA",IF(A9="R1",IF(D9&lt;=E9,"PASS","STOP"),IF(A9="Q2",IF(D9&lt;=E9,"PASS","FIX"),IF(D9&gt;=E9,"PASS","FIX"))))</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style="34" min="1" max="1"/>
    <col width="66" customWidth="1" style="34" min="2" max="2"/>
    <col width="51" customWidth="1" style="34" min="3" max="3"/>
    <col width="27" customWidth="1" style="34" min="4" max="4"/>
    <col width="65" customWidth="1" style="34" min="5" max="5"/>
  </cols>
  <sheetData>
    <row r="1" ht="32" customHeight="1" s="34">
      <c r="A1" s="18" t="inlineStr">
        <is>
          <t>Metric ID</t>
        </is>
      </c>
      <c r="B1" s="18" t="inlineStr">
        <is>
          <t>Numerator / operation</t>
        </is>
      </c>
      <c r="C1" s="18" t="inlineStr">
        <is>
          <t>Denominator / comparator</t>
        </is>
      </c>
      <c r="D1" s="18" t="inlineStr">
        <is>
          <t>Granularity</t>
        </is>
      </c>
      <c r="E1" s="18" t="inlineStr">
        <is>
          <t>Caveat / instrumentation</t>
        </is>
      </c>
    </row>
    <row r="2" ht="65" customHeight="1" s="34">
      <c r="A2" s="9" t="inlineStr">
        <is>
          <t>P1</t>
        </is>
      </c>
      <c r="B2" s="9" t="inlineStr">
        <is>
          <t>AI-eligible cases confirmed resolved without human handoff and not reopened within 7d</t>
        </is>
      </c>
      <c r="C2" s="9" t="inlineStr">
        <is>
          <t>All AI-eligible cases started in cohort</t>
        </is>
      </c>
      <c r="D2" s="9" t="inlineStr">
        <is>
          <t>intent × risk × language</t>
        </is>
      </c>
      <c r="E2" s="9" t="inlineStr">
        <is>
          <t>eligibility fixed before outcome; exclude abandoned only with defined rule</t>
        </is>
      </c>
    </row>
    <row r="3" ht="65" customHeight="1" s="34">
      <c r="A3" s="9" t="inlineStr">
        <is>
          <t>W1</t>
        </is>
      </c>
      <c r="B3" s="9" t="inlineStr">
        <is>
          <t>1 - median(resolution_time_pilot)/median(resolution_time_baseline)</t>
        </is>
      </c>
      <c r="C3" s="9" t="inlineStr">
        <is>
          <t>Comparable baseline cohort</t>
        </is>
      </c>
      <c r="D3" s="9" t="inlineStr">
        <is>
          <t>intent × complexity</t>
        </is>
      </c>
      <c r="E3" s="9" t="inlineStr">
        <is>
          <t>End-to-end: created_at to resolved_at, include handoff</t>
        </is>
      </c>
    </row>
    <row r="4" ht="65" customHeight="1" s="34">
      <c r="A4" s="9" t="inlineStr">
        <is>
          <t>Q1</t>
        </is>
      </c>
      <c r="B4" s="9" t="inlineStr">
        <is>
          <t>QA-passed audited sample count</t>
        </is>
      </c>
      <c r="C4" s="9" t="inlineStr">
        <is>
          <t>All audited cases sampled using documented stratification</t>
        </is>
      </c>
      <c r="D4" s="9" t="inlineStr">
        <is>
          <t>intent × risk</t>
        </is>
      </c>
      <c r="E4" s="9" t="inlineStr">
        <is>
          <t>QA rubric: policy, correctness, clarity, safety</t>
        </is>
      </c>
    </row>
    <row r="5" ht="65" customHeight="1" s="34">
      <c r="A5" s="9" t="inlineStr">
        <is>
          <t>T1</t>
        </is>
      </c>
      <c r="B5" s="9" t="inlineStr">
        <is>
          <t>1 - repeat_7d_rate_pilot/repeat_7d_rate_baseline</t>
        </is>
      </c>
      <c r="C5" s="9" t="inlineStr">
        <is>
          <t>Comparable baseline repeat rate</t>
        </is>
      </c>
      <c r="D5" s="9" t="inlineStr">
        <is>
          <t>intent × channel</t>
        </is>
      </c>
      <c r="E5" s="9" t="inlineStr">
        <is>
          <t>Requires linked identifiers, consent and minimized identifiers</t>
        </is>
      </c>
    </row>
    <row r="6" ht="65" customHeight="1" s="34">
      <c r="A6" s="9" t="inlineStr">
        <is>
          <t>R1</t>
        </is>
      </c>
      <c r="B6" s="9" t="inlineStr">
        <is>
          <t>Confirmed critical error incidents</t>
        </is>
      </c>
      <c r="C6" s="9" t="inlineStr">
        <is>
          <t>Absolute count (not percentage)</t>
        </is>
      </c>
      <c r="D6" s="9" t="inlineStr">
        <is>
          <t>risk type</t>
        </is>
      </c>
      <c r="E6" s="9" t="inlineStr">
        <is>
          <t>Critical = wrong financial action, privacy breach, serious misinformation</t>
        </is>
      </c>
    </row>
    <row r="7" ht="65" customHeight="1" s="34">
      <c r="A7" s="9" t="inlineStr">
        <is>
          <t>W2</t>
        </is>
      </c>
      <c r="B7" s="9" t="inlineStr">
        <is>
          <t>1 - P90(resolution_time_pilot)/P90(resolution_time_baseline)</t>
        </is>
      </c>
      <c r="C7" s="9" t="inlineStr">
        <is>
          <t>Comparable baseline P90</t>
        </is>
      </c>
      <c r="D7" s="9" t="inlineStr">
        <is>
          <t>intent × complexity</t>
        </is>
      </c>
      <c r="E7" s="9" t="inlineStr">
        <is>
          <t>Guard against hidden delays on hard cases</t>
        </is>
      </c>
    </row>
    <row r="8" ht="65" customHeight="1" s="34">
      <c r="A8" s="9" t="inlineStr">
        <is>
          <t>W3</t>
        </is>
      </c>
      <c r="B8" s="9" t="inlineStr">
        <is>
          <t>Handoffs including summary, intent, source, reason and prior attempts</t>
        </is>
      </c>
      <c r="C8" s="9" t="inlineStr">
        <is>
          <t>All AI→human handoffs</t>
        </is>
      </c>
      <c r="D8" s="9" t="inlineStr">
        <is>
          <t>intent × team</t>
        </is>
      </c>
      <c r="E8" s="9" t="inlineStr">
        <is>
          <t>Structured completeness; sample QA for real usability</t>
        </is>
      </c>
    </row>
    <row r="9" ht="65" customHeight="1" s="34">
      <c r="A9" s="9" t="inlineStr">
        <is>
          <t>Q2</t>
        </is>
      </c>
      <c r="B9" s="9" t="inlineStr">
        <is>
          <t>Cases reopened / requiring substantive rework in 7 days</t>
        </is>
      </c>
      <c r="C9" s="9" t="inlineStr">
        <is>
          <t>Closed eligible cases observed full 7d</t>
        </is>
      </c>
      <c r="D9" s="9" t="inlineStr">
        <is>
          <t>intent × risk</t>
        </is>
      </c>
      <c r="E9" s="9" t="inlineStr">
        <is>
          <t>Do not include still-in-window cases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9" customWidth="1" style="34" min="1" max="1"/>
    <col width="24" customWidth="1" style="34" min="2" max="2"/>
    <col width="55" customWidth="1" style="34" min="3" max="3"/>
    <col width="32" customWidth="1" style="34" min="4" max="4"/>
    <col width="70" customWidth="1" style="34" min="5" max="5"/>
    <col width="43" customWidth="1" style="34" min="6" max="6"/>
  </cols>
  <sheetData>
    <row r="1" ht="30" customHeight="1" s="34">
      <c r="A1" s="18" t="inlineStr">
        <is>
          <t>Period</t>
        </is>
      </c>
      <c r="B1" s="18" t="inlineStr">
        <is>
          <t>Goal</t>
        </is>
      </c>
      <c r="C1" s="18" t="inlineStr">
        <is>
          <t>Deliverables</t>
        </is>
      </c>
      <c r="D1" s="18" t="inlineStr">
        <is>
          <t>Accountable owner</t>
        </is>
      </c>
      <c r="E1" s="18" t="inlineStr">
        <is>
          <t>Gate to next stage</t>
        </is>
      </c>
      <c r="F1" s="18" t="inlineStr">
        <is>
          <t>Failure action</t>
        </is>
      </c>
    </row>
    <row r="2" ht="84" customHeight="1" s="34">
      <c r="A2" s="9" t="inlineStr">
        <is>
          <t>Days 0–30</t>
        </is>
      </c>
      <c r="B2" s="9" t="inlineStr">
        <is>
          <t>Prove problem</t>
        </is>
      </c>
      <c r="C2" s="9" t="inlineStr">
        <is>
          <t>Taxonomy, AS-IS/TO-BE, policy owners, baseline extraction</t>
        </is>
      </c>
      <c r="D2" s="9" t="inlineStr">
        <is>
          <t>CS Operations Lead</t>
        </is>
      </c>
      <c r="E2" s="9" t="inlineStr">
        <is>
          <t>≥95% event logging coverage; data owner assigned; reproducible baseline</t>
        </is>
      </c>
      <c r="F2" s="9" t="inlineStr">
        <is>
          <t>Extend baseline / reduce pilot scope</t>
        </is>
      </c>
    </row>
    <row r="3" ht="84" customHeight="1" s="34">
      <c r="A3" s="9" t="inlineStr">
        <is>
          <t>Days 31–60</t>
        </is>
      </c>
      <c r="B3" s="9" t="inlineStr">
        <is>
          <t>Prove quality</t>
        </is>
      </c>
      <c r="C3" s="9" t="inlineStr">
        <is>
          <t>Risk-aware routing; versioned evidence; QA sampling; human handoff</t>
        </is>
      </c>
      <c r="D3" s="9" t="inlineStr">
        <is>
          <t>AI Product Owner + QA Lead</t>
        </is>
      </c>
      <c r="E3" s="9" t="inlineStr">
        <is>
          <t>QA ≥95%, zero critical errors, handoff reasons captured for 100%</t>
        </is>
      </c>
      <c r="F3" s="9" t="inlineStr">
        <is>
          <t>Suspend affected intents; diagnose</t>
        </is>
      </c>
    </row>
    <row r="4" ht="84" customHeight="1" s="34">
      <c r="A4" s="9" t="inlineStr">
        <is>
          <t>Days 61–90</t>
        </is>
      </c>
      <c r="B4" s="9" t="inlineStr">
        <is>
          <t>Decide expansion</t>
        </is>
      </c>
      <c r="C4" s="9" t="inlineStr">
        <is>
          <t>Compare to matched baseline; cohort segmentation; final governance review</t>
        </is>
      </c>
      <c r="D4" s="9" t="inlineStr">
        <is>
          <t>Head of CS + Risk Lead</t>
        </is>
      </c>
      <c r="E4" s="9" t="inlineStr">
        <is>
          <t>P1≥70%, W1≥20% improvement, T1≥15% improvement and risk gate passes</t>
        </is>
      </c>
      <c r="F4" s="9" t="inlineStr">
        <is>
          <t>REVISE or STOP expansion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style="34" min="1" max="1"/>
    <col width="33" customWidth="1" style="34" min="2" max="2"/>
    <col width="16" customWidth="1" style="34" min="3" max="3"/>
    <col width="78" customWidth="1" style="34" min="4" max="4"/>
    <col width="110" customWidth="1" style="34" min="5" max="5"/>
  </cols>
  <sheetData>
    <row r="1">
      <c r="A1" s="18" t="inlineStr">
        <is>
          <t>ID</t>
        </is>
      </c>
      <c r="B1" s="18" t="inlineStr">
        <is>
          <t>Source</t>
        </is>
      </c>
      <c r="C1" s="18" t="inlineStr">
        <is>
          <t>Date</t>
        </is>
      </c>
      <c r="D1" s="18" t="inlineStr">
        <is>
          <t>Evidence</t>
        </is>
      </c>
      <c r="E1" s="18" t="inlineStr">
        <is>
          <t>URL</t>
        </is>
      </c>
    </row>
    <row r="2" ht="55" customHeight="1" s="34">
      <c r="A2" s="9" t="inlineStr">
        <is>
          <t>S1</t>
        </is>
      </c>
      <c r="B2" s="9" t="inlineStr">
        <is>
          <t>Klarna press release 2024</t>
        </is>
      </c>
      <c r="C2" s="9" t="inlineStr">
        <is>
          <t>2024-02-27</t>
        </is>
      </c>
      <c r="D2" s="9" t="inlineStr">
        <is>
          <t>2.3m chats; 2/3 share; 25% fewer repeat inquiries; under 2m vs 11m</t>
        </is>
      </c>
      <c r="E2" s="9" t="inlineStr">
        <is>
          <t>https://www.prnewswire.com/news-releases/klarna-ai-assistant-handles-two-thirds-of-customer-service-chats-in-its-first-month-302072744.html</t>
        </is>
      </c>
    </row>
    <row r="3" ht="55" customHeight="1" s="34">
      <c r="A3" s="9" t="inlineStr">
        <is>
          <t>S2</t>
        </is>
      </c>
      <c r="B3" s="9" t="inlineStr">
        <is>
          <t>Bloomberg 2025</t>
        </is>
      </c>
      <c r="C3" s="9" t="inlineStr">
        <is>
          <t>2025-05-08</t>
        </is>
      </c>
      <c r="D3" s="9" t="inlineStr">
        <is>
          <t>CEO admits cost-cutting overemphasis; recruitment for human support</t>
        </is>
      </c>
      <c r="E3" s="9" t="inlineStr">
        <is>
          <t>https://www.bloomberg.com/news/articles/2025-05-08/klarna-turns-from-ai-to-real-person-customer-service</t>
        </is>
      </c>
    </row>
    <row r="4" ht="55" customHeight="1" s="34">
      <c r="A4" s="9" t="inlineStr">
        <is>
          <t>S3</t>
        </is>
      </c>
      <c r="B4" s="9" t="inlineStr">
        <is>
          <t>Klarna SEC filing 2025</t>
        </is>
      </c>
      <c r="C4" s="9" t="inlineStr">
        <is>
          <t>2025</t>
        </is>
      </c>
      <c r="D4" s="9" t="inlineStr">
        <is>
          <t>69% chats LTM June 2025; human support option; hybrid approach</t>
        </is>
      </c>
      <c r="E4" s="9" t="inlineStr">
        <is>
          <t>https://www.sec.gov/Archives/edgar/data/2003292/000200329225000052/klarnagroupplc424b4.htm</t>
        </is>
      </c>
    </row>
    <row r="5" ht="55" customHeight="1" s="34">
      <c r="A5" s="9" t="inlineStr">
        <is>
          <t>S4</t>
        </is>
      </c>
      <c r="B5" s="9" t="inlineStr">
        <is>
          <t>Klarna 2025 annual filing</t>
        </is>
      </c>
      <c r="C5" s="9" t="inlineStr">
        <is>
          <t>2026</t>
        </is>
      </c>
      <c r="D5" s="9" t="inlineStr">
        <is>
          <t>80% of 2025 chats; internal CSAT no decrease; 31m cumulative conversations</t>
        </is>
      </c>
      <c r="E5" s="9" t="inlineStr">
        <is>
          <t>https://www.sec.gov/Archives/edgar/data/2003292/000200329226000007/klar-20251231.htm</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8" customWidth="1" style="34" min="1" max="1"/>
    <col width="24" customWidth="1" style="34" min="2" max="2"/>
    <col width="57" customWidth="1" style="34" min="3" max="3"/>
    <col width="48" customWidth="1" style="34" min="4" max="4"/>
    <col width="70" customWidth="1" style="34" min="5" max="5"/>
    <col width="30" customWidth="1" style="34" min="6" max="6"/>
    <col width="20" customWidth="1" style="34" min="7" max="7"/>
  </cols>
  <sheetData>
    <row r="1">
      <c r="A1" s="18" t="inlineStr">
        <is>
          <t>#</t>
        </is>
      </c>
      <c r="B1" s="18" t="inlineStr">
        <is>
          <t>Peer group</t>
        </is>
      </c>
      <c r="C1" s="18" t="inlineStr">
        <is>
          <t>Actual feedback</t>
        </is>
      </c>
      <c r="D1" s="18" t="inlineStr">
        <is>
          <t>Evidence discussed</t>
        </is>
      </c>
      <c r="E1" s="18" t="inlineStr">
        <is>
          <t>Change implemented</t>
        </is>
      </c>
      <c r="F1" s="18" t="inlineStr">
        <is>
          <t>Reviewer/date</t>
        </is>
      </c>
      <c r="G1" s="18" t="inlineStr">
        <is>
          <t>Verified?</t>
        </is>
      </c>
    </row>
    <row r="2" ht="80" customHeight="1" s="34">
      <c r="A2" s="9" t="n">
        <v>1</v>
      </c>
      <c r="B2" s="9" t="inlineStr">
        <is>
          <t>Nhóm 02 — FinTech AI Ops (Track 01)</t>
        </is>
      </c>
      <c r="C2" s="9" t="inlineStr">
        <is>
          <t>Tỷ lệ giải quyết AI (P1) trong bản v1 đang gộp chung toàn bộ ticket, dễ che giấu việc bot thất bại ở các ca tài chính phức tạp và khiếu nại hoàn tiền. Cần phân tầng P1 theo Intent và Risk level.</t>
        </is>
      </c>
      <c r="D2" s="9" t="inlineStr">
        <is>
          <t>Case Klarna S2 (CEO thừa nhận đánh đổi chất lượng lấy chi phí) &amp; SEC filing S3 (duy trì human support cho ca phức tạp). Dữ liệu pilot cho thấy ca High Risk giải quyết tự động rất rủi ro.</t>
        </is>
      </c>
      <c r="E2" s="9" t="inlineStr">
        <is>
          <t>Phân tầng P1 trong v2 qua tab Segments theo 3 mức Risk (Low, Medium, High) và Intent (Refund, Account help). Quy định ca High Risk phải chuyển Human-first.</t>
        </is>
      </c>
      <c r="F2" s="9" t="inlineStr">
        <is>
          <t>Trần Hoàng Nam (Lead Nhóm 02) — 2026-10-14</t>
        </is>
      </c>
      <c r="G2" s="9" t="inlineStr">
        <is>
          <t>YES</t>
        </is>
      </c>
    </row>
    <row r="3" ht="80" customHeight="1" s="34">
      <c r="A3" s="9" t="n">
        <v>2</v>
      </c>
      <c r="B3" s="9" t="inlineStr">
        <is>
          <t>Nhóm 02 — FinTech AI Ops (Track 01)</t>
        </is>
      </c>
      <c r="C3" s="9" t="inlineStr">
        <is>
          <t>Chỉ đo Median Resolution Time (W1) sẽ bỏ lọt các ca kẹt lâu (long-tail lag) khi chuyển ca sang người mà nhân viên thiếu ngữ cảnh. Cần đo P90, mức độ đầy đủ ngữ cảnh bàn giao và tỷ lệ mở lại/làm lại.</t>
        </is>
      </c>
      <c r="D3" s="9" t="inlineStr">
        <is>
          <t>Quy trình TO-BE bước W3 (Handoff); phỏng vấn nhân viên CS cho thấy bức xúc lớn nhất là nhận ticket từ bot nhưng không có tóm tắt lịch sử khiến khách hàng phải lặp lại từ đầu.</t>
        </is>
      </c>
      <c r="E3" s="9" t="inlineStr">
        <is>
          <t>Bổ sung 3 chỉ số vào Dashboard v2: W2 (P90 resolution reduction ≥10%), W3 (Handoff context completeness ≥98%), Q2 (Rework/Reopen 7d ≤5%), kèm Hard-stop ngay lập tức cho R1 khi có Critical Error.</t>
        </is>
      </c>
      <c r="F3" s="9" t="inlineStr">
        <is>
          <t>Lê Thị Mai Anh (Metrics Lead Nhóm 02) — 2026-10-14</t>
        </is>
      </c>
      <c r="G3" s="9" t="inlineStr">
        <is>
          <t>YES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0" customWidth="1" style="34" min="1" max="1"/>
    <col width="28" customWidth="1" style="34" min="2" max="2"/>
    <col width="15" customWidth="1" style="34" min="3" max="3"/>
    <col width="20" customWidth="1" style="34" min="4" max="4"/>
    <col width="24" customWidth="1" style="34" min="5" max="5"/>
    <col width="22" customWidth="1" style="34" min="6" max="6"/>
    <col width="36" customWidth="1" style="34" min="7" max="7"/>
  </cols>
  <sheetData>
    <row r="1">
      <c r="A1" s="18" t="inlineStr">
        <is>
          <t>Dimension</t>
        </is>
      </c>
      <c r="B1" s="18" t="inlineStr">
        <is>
          <t>Segment</t>
        </is>
      </c>
      <c r="C1" s="18" t="inlineStr">
        <is>
          <t>Tickets</t>
        </is>
      </c>
      <c r="D1" s="18" t="inlineStr">
        <is>
          <t>AI eligible</t>
        </is>
      </c>
      <c r="E1" s="18" t="inlineStr">
        <is>
          <t>AI verified resolved</t>
        </is>
      </c>
      <c r="F1" s="18" t="inlineStr">
        <is>
          <t>Resolution rate</t>
        </is>
      </c>
      <c r="G1" s="18" t="inlineStr">
        <is>
          <t>Decision</t>
        </is>
      </c>
    </row>
    <row r="2">
      <c r="A2" t="inlineStr">
        <is>
          <t>Risk</t>
        </is>
      </c>
      <c r="B2" t="inlineStr">
        <is>
          <t>Low</t>
        </is>
      </c>
      <c r="C2" t="n">
        <v>250</v>
      </c>
      <c r="D2" t="n">
        <v>230</v>
      </c>
      <c r="E2" t="n">
        <v>200</v>
      </c>
      <c r="F2" s="44">
        <f>IF(OR(D2="",D2=0,E2=""),"",E2/D2)</f>
        <v/>
      </c>
      <c r="G2" t="inlineStr">
        <is>
          <t>Monitor</t>
        </is>
      </c>
    </row>
    <row r="3">
      <c r="A3" t="inlineStr">
        <is>
          <t>Risk</t>
        </is>
      </c>
      <c r="B3" t="inlineStr">
        <is>
          <t>Medium</t>
        </is>
      </c>
      <c r="C3" t="n">
        <v>180</v>
      </c>
      <c r="D3" t="n">
        <v>140</v>
      </c>
      <c r="E3" t="n">
        <v>98</v>
      </c>
      <c r="F3" s="44">
        <f>IF(OR(D3="",D3=0,E3=""),"",E3/D3)</f>
        <v/>
      </c>
      <c r="G3" t="inlineStr">
        <is>
          <t>Monitor</t>
        </is>
      </c>
    </row>
    <row r="4">
      <c r="A4" t="inlineStr">
        <is>
          <t>Risk</t>
        </is>
      </c>
      <c r="B4" t="inlineStr">
        <is>
          <t>High</t>
        </is>
      </c>
      <c r="C4" t="n">
        <v>70</v>
      </c>
      <c r="D4" t="n">
        <v>10</v>
      </c>
      <c r="E4" t="n">
        <v>3</v>
      </c>
      <c r="F4" s="44">
        <f>IF(OR(D4="",D4=0,E4=""),"",E4/D4)</f>
        <v/>
      </c>
      <c r="G4" t="inlineStr">
        <is>
          <t>Human-first / strict review</t>
        </is>
      </c>
    </row>
    <row r="5">
      <c r="A5" t="inlineStr">
        <is>
          <t>Intent</t>
        </is>
      </c>
      <c r="B5" t="inlineStr">
        <is>
          <t>Refund/return</t>
        </is>
      </c>
      <c r="C5" t="n">
        <v>210</v>
      </c>
      <c r="D5" t="n">
        <v>160</v>
      </c>
      <c r="E5" t="n">
        <v>115</v>
      </c>
      <c r="F5" s="44">
        <f>IF(OR(D5="",D5=0,E5=""),"",E5/D5)</f>
        <v/>
      </c>
      <c r="G5" t="inlineStr">
        <is>
          <t>Monitor</t>
        </is>
      </c>
    </row>
    <row r="6">
      <c r="A6" t="inlineStr">
        <is>
          <t>Intent</t>
        </is>
      </c>
      <c r="B6" t="inlineStr">
        <is>
          <t>Account help</t>
        </is>
      </c>
      <c r="C6" t="n">
        <v>190</v>
      </c>
      <c r="D6" t="n">
        <v>170</v>
      </c>
      <c r="E6" t="n">
        <v>145</v>
      </c>
      <c r="F6" s="44">
        <f>IF(OR(D6="",D6=0,E6=""),"",E6/D6)</f>
        <v/>
      </c>
      <c r="G6" t="inlineStr">
        <is>
          <t>Monitor</t>
        </is>
      </c>
    </row>
    <row r="7">
      <c r="A7" t="inlineStr">
        <is>
          <t>Language</t>
        </is>
      </c>
      <c r="B7" t="inlineStr">
        <is>
          <t>Local/other</t>
        </is>
      </c>
      <c r="C7" t="n">
        <v>100</v>
      </c>
      <c r="D7" t="n">
        <v>50</v>
      </c>
      <c r="E7" t="n">
        <v>36</v>
      </c>
      <c r="F7" s="44">
        <f>IF(OR(D7="",D7=0,E7=""),"",E7/D7)</f>
        <v/>
      </c>
      <c r="G7" t="inlineStr">
        <is>
          <t>Check quality parity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activeCell="A1" sqref="A1"/>
    </sheetView>
  </sheetViews>
  <sheetFormatPr baseColWidth="8" defaultRowHeight="15"/>
  <cols>
    <col width="26" customWidth="1" style="34" min="1" max="1"/>
    <col width="20" customWidth="1" style="34" min="2" max="2"/>
    <col width="46" customWidth="1" style="34" min="3" max="3"/>
    <col width="23" customWidth="1" style="34" min="4" max="4"/>
    <col width="44" customWidth="1" style="34" min="5" max="5"/>
  </cols>
  <sheetData>
    <row r="1">
      <c r="A1" s="39" t="inlineStr">
        <is>
          <t>THÀNH VIÊN NHÓM 5 — PHÂN CÔNG &amp; PHẢN BIỆN</t>
        </is>
      </c>
      <c r="B1" s="39" t="inlineStr">
        <is>
          <t>THÀNH VIÊN NHÓM 5 — PHÂN CÔNG &amp; PHẢN BIỆN</t>
        </is>
      </c>
      <c r="C1" s="39" t="inlineStr">
        <is>
          <t>THÀNH VIÊN NHÓM 5 — PHÂN CÔNG &amp; PHẢN BIỆN</t>
        </is>
      </c>
      <c r="D1" s="39" t="inlineStr">
        <is>
          <t>THÀNH VIÊN NHÓM 5 — PHÂN CÔNG &amp; PHẢN BIỆN</t>
        </is>
      </c>
      <c r="E1" s="39" t="n"/>
    </row>
    <row r="3">
      <c r="A3" s="37" t="inlineStr">
        <is>
          <t>Thành viên / họ tên</t>
        </is>
      </c>
      <c r="B3" s="37" t="inlineStr">
        <is>
          <t>MSSV</t>
        </is>
      </c>
      <c r="C3" s="37" t="inlineStr">
        <is>
          <t>Đầu ra phụ trách</t>
        </is>
      </c>
      <c r="D3" s="37" t="inlineStr">
        <is>
          <t>Kiểm tra chéo cùng</t>
        </is>
      </c>
      <c r="E3" s="37" t="inlineStr">
        <is>
          <t>Góp ý thật cho nhóm bạn</t>
        </is>
      </c>
    </row>
    <row r="4">
      <c r="A4" s="9" t="inlineStr">
        <is>
          <t>Bùi Thị Ngọc Trân</t>
        </is>
      </c>
      <c r="B4" s="9" t="inlineStr">
        <is>
          <t>2A202602529</t>
        </is>
      </c>
      <c r="C4" s="9" t="inlineStr">
        <is>
          <t>Nhóm trưởng / Case Research: tổng hợp nguồn S1–S4, khóa phạm vi, kiểm chứng bằng chứng và điều phối chốt quyết định</t>
        </is>
      </c>
      <c r="D4" s="9" t="inlineStr">
        <is>
          <t>TV2, TV5</t>
        </is>
      </c>
      <c r="E4" s="9" t="inlineStr">
        <is>
          <t>Nhóm 02: Góp ý thu hẹp phạm vi từ CS toàn diện về 2-3 quy trình cụ thể (đổi trả, tra cứu đơn) để tránh loãng nguồn lực và đo lường được.</t>
        </is>
      </c>
    </row>
    <row r="5">
      <c r="A5" s="9" t="inlineStr">
        <is>
          <t>Đinh Thị Minh Tâm</t>
        </is>
      </c>
      <c r="B5" s="9" t="inlineStr">
        <is>
          <t>2A202602433</t>
        </is>
      </c>
      <c r="C5" s="9" t="inlineStr">
        <is>
          <t>Diagnosis Lead: 5 câu hỏi, Gartner-Lite, ADKAR, 2 nguyên nhân gốc (RC1, RC2) và giới hạn chứng cứ</t>
        </is>
      </c>
      <c r="D5" s="9" t="inlineStr">
        <is>
          <t>TV1, TV3</t>
        </is>
      </c>
      <c r="E5" s="9" t="inlineStr">
        <is>
          <t>Nhóm 02: Chỉ ra điểm nghẽn người dùng nằm ở Desire (sợ trách nhiệm sai sót) và Reinforcement (chưa có KPI đồng hành), không thể chỉ mở lớp đào tạo (Knowledge).</t>
        </is>
      </c>
    </row>
    <row r="6">
      <c r="A6" s="9" t="inlineStr">
        <is>
          <t>Phạm Thành Đạt</t>
        </is>
      </c>
      <c r="B6" s="9" t="inlineStr">
        <is>
          <t>2A202602721</t>
        </is>
      </c>
      <c r="C6" s="9" t="inlineStr">
        <is>
          <t>Workflow Lead: Mollick, AS-IS / TO-BE, cơ chế kiểm chứng nguồn, phân luồng và handoff người–AI</t>
        </is>
      </c>
      <c r="D6" s="9" t="inlineStr">
        <is>
          <t>TV2, TV4</t>
        </is>
      </c>
      <c r="E6" s="9" t="inlineStr">
        <is>
          <t>Nhóm 02: Thiết kế TO-BE cần phân định ranh giới Mollick: con người giữ quyền quyết định cuối với ngoại lệ, bot chỉ tóm tắt và trích xuất versioned policy.</t>
        </is>
      </c>
    </row>
    <row r="7">
      <c r="A7" s="9" t="inlineStr">
        <is>
          <t>Ngô Lê Thủy Tiên</t>
        </is>
      </c>
      <c r="B7" s="9" t="inlineStr">
        <is>
          <t>2A202602614</t>
        </is>
      </c>
      <c r="C7" s="9" t="inlineStr">
        <is>
          <t>Metrics &amp; Dashboard Lead: baseline plan, product/workflow/quality metrics, dashboard v1/v2 và kiểm tra công thức</t>
        </is>
      </c>
      <c r="D7" s="9" t="inlineStr">
        <is>
          <t>TV3, TV5</t>
        </is>
      </c>
      <c r="E7" s="9" t="inlineStr">
        <is>
          <t>Nhóm 02: Thay thế các vanity metric (lượt login, số câu hỏi) bằng outcome &amp; workflow metrics (First Contact Resolution, Reopen rate, Handoff completeness) có baseline cụ thể.</t>
        </is>
      </c>
    </row>
    <row r="8">
      <c r="A8" s="9" t="inlineStr">
        <is>
          <t>Nguyễn Khánh Linh</t>
        </is>
      </c>
      <c r="B8" s="9" t="inlineStr">
        <is>
          <t>2A202602409</t>
        </is>
      </c>
      <c r="C8" s="9" t="inlineStr">
        <is>
          <t>Roadmap &amp; QA Lead: kế hoạch 30–60–90, owner/gate từng giai đoạn, memo quyết định, biên bản peer review</t>
        </is>
      </c>
      <c r="D8" s="9" t="inlineStr">
        <is>
          <t>TV1, TV4</t>
        </is>
      </c>
      <c r="E8" s="9" t="inlineStr">
        <is>
          <t>Nhóm 02: Bổ sung Gate định lượng (QA pass ≥95%, 0 critical error) cho từng mốc 30-60-90 ngày thay vì chỉ liệt kê danh sách đầu việc hành chính.</t>
        </is>
      </c>
    </row>
    <row r="9">
      <c r="A9" s="9" t="n"/>
      <c r="B9" s="9" t="n"/>
      <c r="C9" s="9" t="n"/>
      <c r="D9" s="9" t="n"/>
      <c r="E9" s="9" t="n"/>
    </row>
    <row r="10">
      <c r="A10" s="9" t="inlineStr">
        <is>
          <t>LƯU Ý</t>
        </is>
      </c>
      <c r="B10" s="9" t="inlineStr">
        <is>
          <t>Owner doanh nghiệp trong roadmap (CS Ops Lead, AI PO, QA Lead, Risk Lead) là vai trò vận hành theo trách nhiệm.</t>
        </is>
      </c>
      <c r="C10" s="9" t="n"/>
      <c r="D10" s="9" t="n"/>
      <c r="E10" s="9" t="n"/>
    </row>
    <row r="11">
      <c r="A11" s="9" t="inlineStr">
        <is>
          <t>Baseline</t>
        </is>
      </c>
      <c r="B11" s="9" t="inlineStr">
        <is>
          <t>Pre-pilot Cohort W0 baseline (500 tickets đại diện) trích xuất trong 30 ngày đầu làm mốc đối chứng kiểm định.</t>
        </is>
      </c>
      <c r="C11" s="9" t="n"/>
      <c r="D11" s="9" t="n"/>
      <c r="E11" s="9" t="n"/>
    </row>
    <row r="12">
      <c r="A12" s="9" t="inlineStr">
        <is>
          <t>Phản biện</t>
        </is>
      </c>
      <c r="B12" s="9" t="inlineStr">
        <is>
          <t>Đã hoàn tất kiểm tra chéo 2 chiều với Nhóm 02 — FinTech AI Ops (Track 01); tích hợp 2 thay đổi cốt lõi vào v2.</t>
        </is>
      </c>
      <c r="C12" s="9" t="n"/>
      <c r="D12" s="9" t="n"/>
      <c r="E12" s="9" t="n"/>
    </row>
    <row r="13">
      <c r="A13" s="9" t="inlineStr">
        <is>
          <t>Nộp</t>
        </is>
      </c>
      <c r="B13" s="9" t="inlineStr">
        <is>
          <t>Cả 5 thành viên nhóm Anh Em Siêu Nhân nộp cùng link repo public và mã xác nhận cam kết.</t>
        </is>
      </c>
      <c r="C13" s="9" t="n"/>
      <c r="D13" s="9" t="n"/>
      <c r="E13" s="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2026-10-14T05:04:33Z</dcterms:created>
  <dcterms:modified xmlns:dcterms="http://purl.org/dc/terms/" xmlns:xsi="http://www.w3.org/2001/XMLSchema-instance" xsi:type="dcterms:W3CDTF">2026-10-14T05:04:33Z</dcterms:modified>
</cp:coreProperties>
</file>